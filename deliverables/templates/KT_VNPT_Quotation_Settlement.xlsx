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Quotation" sheetId="2" state="visible" r:id="rId4"/>
    <sheet name="Tax_Cascade" sheetId="3" state="visible" r:id="rId5"/>
    <sheet name="Reconciliation" sheetId="4" state="visible" r:id="rId6"/>
    <sheet name="Back_to_Back" sheetId="5" state="visible" r:id="rId7"/>
  </sheets>
  <definedNames>
    <definedName function="false" hidden="true" localSheetId="1" name="_xlnm._FilterDatabase" vbProcedure="false">Quotation!$A$1:$P$21</definedName>
    <definedName function="false" hidden="true" localSheetId="3" name="_xlnm._FilterDatabase" vbProcedure="false">Reconciliation!$A$2:$M$22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<sst xmlns="http://schemas.openxmlformats.org/spreadsheetml/2006/main" count="106" uniqueCount="85">
  <si>
    <t xml:space="preserve">KT × VNPT — Quotation &amp; Settlement Reconciliation</t>
  </si>
  <si>
    <r>
      <rPr>
        <i val="true"/>
        <sz val="9"/>
        <color rgb="FF808080"/>
        <rFont val="Noto Sans CJK SC"/>
        <family val="2"/>
      </rPr>
      <t xml:space="preserve">협력사 → </t>
    </r>
    <r>
      <rPr>
        <i val="true"/>
        <sz val="9"/>
        <color rgb="FF808080"/>
        <rFont val="Malgun Gothic"/>
        <family val="0"/>
        <charset val="1"/>
      </rPr>
      <t xml:space="preserve">KT → VNPT </t>
    </r>
    <r>
      <rPr>
        <i val="true"/>
        <sz val="9"/>
        <color rgb="FF808080"/>
        <rFont val="Noto Sans CJK SC"/>
        <family val="2"/>
      </rPr>
      <t xml:space="preserve">정산 무결성 워크북  </t>
    </r>
    <r>
      <rPr>
        <i val="true"/>
        <sz val="9"/>
        <color rgb="FF808080"/>
        <rFont val="Malgun Gothic"/>
        <family val="0"/>
        <charset val="1"/>
      </rPr>
      <t xml:space="preserve">|  CONFIDENTIAL</t>
    </r>
  </si>
  <si>
    <t xml:space="preserve">목적</t>
  </si>
  <si>
    <r>
      <rPr>
        <sz val="10"/>
        <rFont val="Noto Sans CJK SC"/>
        <family val="2"/>
      </rPr>
      <t xml:space="preserve">견적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세금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송장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지급 간 불일치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정산 오류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를 사전 차단한다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견적서가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단일 원가 기준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이며 정산 대사 탭이 이를 </t>
    </r>
    <r>
      <rPr>
        <sz val="10"/>
        <rFont val="Malgun Gothic"/>
        <family val="0"/>
        <charset val="1"/>
      </rPr>
      <t xml:space="preserve">N-way</t>
    </r>
    <r>
      <rPr>
        <sz val="10"/>
        <rFont val="Noto Sans CJK SC"/>
        <family val="2"/>
      </rPr>
      <t xml:space="preserve">로 검증한다</t>
    </r>
    <r>
      <rPr>
        <sz val="10"/>
        <rFont val="Malgun Gothic"/>
        <family val="0"/>
        <charset val="1"/>
      </rPr>
      <t xml:space="preserve">.</t>
    </r>
  </si>
  <si>
    <t xml:space="preserve">탭 구성</t>
  </si>
  <si>
    <r>
      <rPr>
        <sz val="10"/>
        <rFont val="Malgun Gothic"/>
        <family val="0"/>
        <charset val="1"/>
      </rPr>
      <t xml:space="preserve">① Quotation(</t>
    </r>
    <r>
      <rPr>
        <sz val="10"/>
        <rFont val="Noto Sans CJK SC"/>
        <family val="2"/>
      </rPr>
      <t xml:space="preserve">견적서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단일 원가 기준</t>
    </r>
    <r>
      <rPr>
        <sz val="10"/>
        <rFont val="Malgun Gothic"/>
        <family val="0"/>
        <charset val="1"/>
      </rPr>
      <t xml:space="preserve">)  ② Tax_Cascade(</t>
    </r>
    <r>
      <rPr>
        <sz val="10"/>
        <rFont val="Noto Sans CJK SC"/>
        <family val="2"/>
      </rPr>
      <t xml:space="preserve">세금 캐스케이드</t>
    </r>
    <r>
      <rPr>
        <sz val="10"/>
        <rFont val="Malgun Gothic"/>
        <family val="0"/>
        <charset val="1"/>
      </rPr>
      <t xml:space="preserve">)  ③ Reconciliation(</t>
    </r>
    <r>
      <rPr>
        <sz val="10"/>
        <rFont val="Noto Sans CJK SC"/>
        <family val="2"/>
      </rPr>
      <t xml:space="preserve">정산 대사 </t>
    </r>
    <r>
      <rPr>
        <sz val="10"/>
        <rFont val="Malgun Gothic"/>
        <family val="0"/>
        <charset val="1"/>
      </rPr>
      <t xml:space="preserve">N-way)  ④ Back_to_Back(</t>
    </r>
    <r>
      <rPr>
        <sz val="10"/>
        <rFont val="Noto Sans CJK SC"/>
        <family val="2"/>
      </rPr>
      <t xml:space="preserve">백투백 </t>
    </r>
    <r>
      <rPr>
        <sz val="10"/>
        <rFont val="Malgun Gothic"/>
        <family val="0"/>
        <charset val="1"/>
      </rPr>
      <t xml:space="preserve">flow-down </t>
    </r>
    <r>
      <rPr>
        <sz val="10"/>
        <rFont val="Noto Sans CJK SC"/>
        <family val="2"/>
      </rPr>
      <t xml:space="preserve">체크</t>
    </r>
    <r>
      <rPr>
        <sz val="10"/>
        <rFont val="Malgun Gothic"/>
        <family val="0"/>
        <charset val="1"/>
      </rPr>
      <t xml:space="preserve">)</t>
    </r>
  </si>
  <si>
    <t xml:space="preserve">정산 체인</t>
  </si>
  <si>
    <r>
      <rPr>
        <sz val="10"/>
        <rFont val="Noto Sans CJK SC"/>
        <family val="2"/>
      </rPr>
      <t xml:space="preserve">업스트림 협력사→</t>
    </r>
    <r>
      <rPr>
        <sz val="10"/>
        <rFont val="Malgun Gothic"/>
        <family val="0"/>
        <charset val="1"/>
      </rPr>
      <t xml:space="preserve">KT(KRW/USD·</t>
    </r>
    <r>
      <rPr>
        <sz val="10"/>
        <rFont val="Noto Sans CJK SC"/>
        <family val="2"/>
      </rPr>
      <t xml:space="preserve">한국 세제</t>
    </r>
    <r>
      <rPr>
        <sz val="10"/>
        <rFont val="Malgun Gothic"/>
        <family val="0"/>
        <charset val="1"/>
      </rPr>
      <t xml:space="preserve">)  /  </t>
    </r>
    <r>
      <rPr>
        <sz val="10"/>
        <rFont val="Noto Sans CJK SC"/>
        <family val="2"/>
      </rPr>
      <t xml:space="preserve">다운스트림 </t>
    </r>
    <r>
      <rPr>
        <sz val="10"/>
        <rFont val="Malgun Gothic"/>
        <family val="0"/>
        <charset val="1"/>
      </rPr>
      <t xml:space="preserve">KT→VNPT(USD/VND·</t>
    </r>
    <r>
      <rPr>
        <sz val="10"/>
        <rFont val="Noto Sans CJK SC"/>
        <family val="2"/>
      </rPr>
      <t xml:space="preserve">베트남 </t>
    </r>
    <r>
      <rPr>
        <sz val="10"/>
        <rFont val="Malgun Gothic"/>
        <family val="0"/>
        <charset val="1"/>
      </rPr>
      <t xml:space="preserve">FCT). </t>
    </r>
    <r>
      <rPr>
        <sz val="10"/>
        <rFont val="Noto Sans CJK SC"/>
        <family val="2"/>
      </rPr>
      <t xml:space="preserve">백투백 원칙으로 </t>
    </r>
    <r>
      <rPr>
        <sz val="10"/>
        <rFont val="Malgun Gothic"/>
        <family val="0"/>
        <charset val="1"/>
      </rPr>
      <t xml:space="preserve">KT </t>
    </r>
    <r>
      <rPr>
        <sz val="10"/>
        <rFont val="Noto Sans CJK SC"/>
        <family val="2"/>
      </rPr>
      <t xml:space="preserve">중간 리스크 최소화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</si>
  <si>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0"/>
        <color rgb="FF1F4E79"/>
        <rFont val="Noto Sans CJK SC"/>
        <family val="2"/>
      </rPr>
      <t xml:space="preserve">통화</t>
    </r>
    <r>
      <rPr>
        <b val="true"/>
        <sz val="10"/>
        <color rgb="FF1F4E79"/>
        <rFont val="Malgun Gothic"/>
        <family val="0"/>
        <charset val="1"/>
      </rPr>
      <t xml:space="preserve">·</t>
    </r>
    <r>
      <rPr>
        <b val="true"/>
        <sz val="10"/>
        <color rgb="FF1F4E79"/>
        <rFont val="Noto Sans CJK SC"/>
        <family val="2"/>
      </rPr>
      <t xml:space="preserve">환</t>
    </r>
  </si>
  <si>
    <r>
      <rPr>
        <sz val="10"/>
        <rFont val="Noto Sans CJK SC"/>
        <family val="2"/>
      </rPr>
      <t xml:space="preserve">라인별 통화 </t>
    </r>
    <r>
      <rPr>
        <sz val="10"/>
        <rFont val="Malgun Gothic"/>
        <family val="0"/>
        <charset val="1"/>
      </rPr>
      <t xml:space="preserve">+ USD </t>
    </r>
    <r>
      <rPr>
        <sz val="10"/>
        <rFont val="Noto Sans CJK SC"/>
        <family val="2"/>
      </rPr>
      <t xml:space="preserve">환산</t>
    </r>
    <r>
      <rPr>
        <sz val="10"/>
        <rFont val="Malgun Gothic"/>
        <family val="0"/>
        <charset val="1"/>
      </rPr>
      <t xml:space="preserve">(FX rate) </t>
    </r>
    <r>
      <rPr>
        <sz val="10"/>
        <rFont val="Noto Sans CJK SC"/>
        <family val="2"/>
      </rPr>
      <t xml:space="preserve">입력 → 합계는 </t>
    </r>
    <r>
      <rPr>
        <sz val="10"/>
        <rFont val="Malgun Gothic"/>
        <family val="0"/>
        <charset val="1"/>
      </rPr>
      <t xml:space="preserve">USD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환율 기준일을 통일한다</t>
    </r>
    <r>
      <rPr>
        <sz val="10"/>
        <rFont val="Malgun Gothic"/>
        <family val="0"/>
        <charset val="1"/>
      </rPr>
      <t xml:space="preserve">.</t>
    </r>
  </si>
  <si>
    <t xml:space="preserve">핵심 통제</t>
  </si>
  <si>
    <r>
      <rPr>
        <sz val="10"/>
        <rFont val="Malgun Gothic"/>
        <family val="0"/>
        <charset val="1"/>
      </rPr>
      <t xml:space="preserve">(1)</t>
    </r>
    <r>
      <rPr>
        <sz val="10"/>
        <rFont val="Noto Sans CJK SC"/>
        <family val="2"/>
      </rPr>
      <t xml:space="preserve">견적 단일 원가 기준</t>
    </r>
    <r>
      <rPr>
        <sz val="10"/>
        <rFont val="Malgun Gothic"/>
        <family val="0"/>
        <charset val="1"/>
      </rPr>
      <t xml:space="preserve">·scope 1:1  (2)</t>
    </r>
    <r>
      <rPr>
        <sz val="10"/>
        <rFont val="Noto Sans CJK SC"/>
        <family val="2"/>
      </rPr>
      <t xml:space="preserve">세금 분류</t>
    </r>
    <r>
      <rPr>
        <sz val="10"/>
        <rFont val="Malgun Gothic"/>
        <family val="0"/>
        <charset val="1"/>
      </rPr>
      <t xml:space="preserve">(goods/royalty/service) </t>
    </r>
    <r>
      <rPr>
        <sz val="10"/>
        <rFont val="Noto Sans CJK SC"/>
        <family val="2"/>
      </rPr>
      <t xml:space="preserve">체인 일관</t>
    </r>
    <r>
      <rPr>
        <sz val="10"/>
        <rFont val="Malgun Gothic"/>
        <family val="0"/>
        <charset val="1"/>
      </rPr>
      <t xml:space="preserve">·gross-up·DTA  (3)</t>
    </r>
    <r>
      <rPr>
        <sz val="10"/>
        <rFont val="Noto Sans CJK SC"/>
        <family val="2"/>
      </rPr>
      <t xml:space="preserve">백투백 </t>
    </r>
    <r>
      <rPr>
        <sz val="10"/>
        <rFont val="Malgun Gothic"/>
        <family val="0"/>
        <charset val="1"/>
      </rPr>
      <t xml:space="preserve">flow-down  (4)</t>
    </r>
    <r>
      <rPr>
        <sz val="10"/>
        <rFont val="Noto Sans CJK SC"/>
        <family val="2"/>
      </rPr>
      <t xml:space="preserve">견적↔계약↔검수↔송장↔지급 </t>
    </r>
    <r>
      <rPr>
        <sz val="10"/>
        <rFont val="Malgun Gothic"/>
        <family val="0"/>
        <charset val="1"/>
      </rPr>
      <t xml:space="preserve">N-way </t>
    </r>
    <r>
      <rPr>
        <sz val="10"/>
        <rFont val="Noto Sans CJK SC"/>
        <family val="2"/>
      </rPr>
      <t xml:space="preserve">대사  </t>
    </r>
    <r>
      <rPr>
        <sz val="10"/>
        <rFont val="Malgun Gothic"/>
        <family val="0"/>
        <charset val="1"/>
      </rPr>
      <t xml:space="preserve">(5)</t>
    </r>
    <r>
      <rPr>
        <sz val="10"/>
        <rFont val="Noto Sans CJK SC"/>
        <family val="2"/>
      </rPr>
      <t xml:space="preserve">검수연동 지급</t>
    </r>
  </si>
  <si>
    <t xml:space="preserve">⚠ 주의</t>
  </si>
  <si>
    <r>
      <rPr>
        <sz val="10"/>
        <rFont val="Noto Sans CJK SC"/>
        <family val="2"/>
      </rPr>
      <t xml:space="preserve">모든 금액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세율은 </t>
    </r>
    <r>
      <rPr>
        <sz val="10"/>
        <rFont val="Malgun Gothic"/>
        <family val="0"/>
        <charset val="1"/>
      </rPr>
      <t xml:space="preserve">ILLUSTRATIVE(</t>
    </r>
    <r>
      <rPr>
        <sz val="10"/>
        <rFont val="Noto Sans CJK SC"/>
        <family val="2"/>
      </rPr>
      <t xml:space="preserve">예시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계획 추정치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이며 정식 견적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세무 처리는 별도다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세율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세무는 세무사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계약 조항은 변호사</t>
    </r>
    <r>
      <rPr>
        <sz val="10"/>
        <rFont val="Malgun Gothic"/>
        <family val="0"/>
        <charset val="1"/>
      </rPr>
      <t xml:space="preserve">(L5-bd-contract-review) </t>
    </r>
    <r>
      <rPr>
        <sz val="10"/>
        <rFont val="Noto Sans CJK SC"/>
        <family val="2"/>
      </rPr>
      <t xml:space="preserve">확인 전제</t>
    </r>
    <r>
      <rPr>
        <sz val="10"/>
        <rFont val="Malgun Gothic"/>
        <family val="0"/>
        <charset val="1"/>
      </rPr>
      <t xml:space="preserve">.</t>
    </r>
  </si>
  <si>
    <t xml:space="preserve">Line ID</t>
  </si>
  <si>
    <t xml:space="preserve">Solution Part</t>
  </si>
  <si>
    <r>
      <rPr>
        <b val="true"/>
        <sz val="10"/>
        <color rgb="FFFFFFFF"/>
        <rFont val="Malgun Gothic"/>
        <family val="0"/>
        <charset val="1"/>
      </rPr>
      <t xml:space="preserve">Item / </t>
    </r>
    <r>
      <rPr>
        <b val="true"/>
        <sz val="10"/>
        <color rgb="FFFFFFFF"/>
        <rFont val="Noto Sans CJK SC"/>
        <family val="2"/>
      </rPr>
      <t xml:space="preserve">설명</t>
    </r>
  </si>
  <si>
    <t xml:space="preserve">Type</t>
  </si>
  <si>
    <t xml:space="preserve">Unit</t>
  </si>
  <si>
    <t xml:space="preserve">Qty</t>
  </si>
  <si>
    <t xml:space="preserve">Ccy</t>
  </si>
  <si>
    <t xml:space="preserve">FX→USD</t>
  </si>
  <si>
    <r>
      <rPr>
        <b val="true"/>
        <sz val="10"/>
        <color rgb="FFFFFFFF"/>
        <rFont val="Noto Sans CJK SC"/>
        <family val="2"/>
      </rPr>
      <t xml:space="preserve">협력사 단가
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ccy)</t>
    </r>
  </si>
  <si>
    <r>
      <rPr>
        <b val="true"/>
        <sz val="10"/>
        <color rgb="FFFFFFFF"/>
        <rFont val="Noto Sans CJK SC"/>
        <family val="2"/>
      </rPr>
      <t xml:space="preserve">협력사 합계
</t>
    </r>
    <r>
      <rPr>
        <b val="true"/>
        <sz val="10"/>
        <color rgb="FFFFFFFF"/>
        <rFont val="Malgun Gothic"/>
        <family val="0"/>
        <charset val="1"/>
      </rPr>
      <t xml:space="preserve">(USD)</t>
    </r>
  </si>
  <si>
    <r>
      <rPr>
        <b val="true"/>
        <sz val="10"/>
        <color rgb="FFFFFFFF"/>
        <rFont val="Malgun Gothic"/>
        <family val="0"/>
        <charset val="1"/>
      </rPr>
      <t xml:space="preserve">KT </t>
    </r>
    <r>
      <rPr>
        <b val="true"/>
        <sz val="10"/>
        <color rgb="FFFFFFFF"/>
        <rFont val="Noto Sans CJK SC"/>
        <family val="2"/>
      </rPr>
      <t xml:space="preserve">마진</t>
    </r>
    <r>
      <rPr>
        <b val="true"/>
        <sz val="10"/>
        <color rgb="FFFFFFFF"/>
        <rFont val="Malgun Gothic"/>
        <family val="0"/>
        <charset val="1"/>
      </rPr>
      <t xml:space="preserve">%</t>
    </r>
  </si>
  <si>
    <r>
      <rPr>
        <b val="true"/>
        <sz val="10"/>
        <color rgb="FFFFFFFF"/>
        <rFont val="Malgun Gothic"/>
        <family val="0"/>
        <charset val="1"/>
      </rPr>
      <t xml:space="preserve">KT </t>
    </r>
    <r>
      <rPr>
        <b val="true"/>
        <sz val="10"/>
        <color rgb="FFFFFFFF"/>
        <rFont val="Noto Sans CJK SC"/>
        <family val="2"/>
      </rPr>
      <t xml:space="preserve">마진
</t>
    </r>
    <r>
      <rPr>
        <b val="true"/>
        <sz val="10"/>
        <color rgb="FFFFFFFF"/>
        <rFont val="Malgun Gothic"/>
        <family val="0"/>
        <charset val="1"/>
      </rPr>
      <t xml:space="preserve">(USD)</t>
    </r>
  </si>
  <si>
    <r>
      <rPr>
        <b val="true"/>
        <sz val="10"/>
        <color rgb="FFFFFFFF"/>
        <rFont val="Malgun Gothic"/>
        <family val="0"/>
        <charset val="1"/>
      </rPr>
      <t xml:space="preserve">VNPT </t>
    </r>
    <r>
      <rPr>
        <b val="true"/>
        <sz val="10"/>
        <color rgb="FFFFFFFF"/>
        <rFont val="Noto Sans CJK SC"/>
        <family val="2"/>
      </rPr>
      <t xml:space="preserve">가격
</t>
    </r>
    <r>
      <rPr>
        <b val="true"/>
        <sz val="10"/>
        <color rgb="FFFFFFFF"/>
        <rFont val="Malgun Gothic"/>
        <family val="0"/>
        <charset val="1"/>
      </rPr>
      <t xml:space="preserve">(USD)</t>
    </r>
  </si>
  <si>
    <r>
      <rPr>
        <b val="true"/>
        <sz val="10"/>
        <color rgb="FFFFFFFF"/>
        <rFont val="Malgun Gothic"/>
        <family val="0"/>
        <charset val="1"/>
      </rPr>
      <t xml:space="preserve">FCT </t>
    </r>
    <r>
      <rPr>
        <b val="true"/>
        <sz val="10"/>
        <color rgb="FFFFFFFF"/>
        <rFont val="Noto Sans CJK SC"/>
        <family val="2"/>
      </rPr>
      <t xml:space="preserve">분류</t>
    </r>
  </si>
  <si>
    <t xml:space="preserve">Scope/SOW ref</t>
  </si>
  <si>
    <t xml:space="preserve">Notes</t>
  </si>
  <si>
    <t xml:space="preserve">Q-001</t>
  </si>
  <si>
    <t xml:space="preserve">STB (Genie STB 4)</t>
  </si>
  <si>
    <r>
      <rPr>
        <sz val="10"/>
        <rFont val="Noto Sans CJK SC"/>
        <family val="2"/>
      </rPr>
      <t xml:space="preserve">셋톱 단말 </t>
    </r>
    <r>
      <rPr>
        <sz val="10"/>
        <rFont val="Malgun Gothic"/>
        <family val="0"/>
        <charset val="1"/>
      </rPr>
      <t xml:space="preserve">OEM</t>
    </r>
  </si>
  <si>
    <t xml:space="preserve">goods</t>
  </si>
  <si>
    <t xml:space="preserve">ea</t>
  </si>
  <si>
    <t xml:space="preserve">USD</t>
  </si>
  <si>
    <t xml:space="preserve">goods (1%+1%)</t>
  </si>
  <si>
    <t xml:space="preserve">RTM-01</t>
  </si>
  <si>
    <r>
      <rPr>
        <sz val="10"/>
        <rFont val="Malgun Gothic"/>
        <family val="0"/>
        <charset val="1"/>
      </rPr>
      <t xml:space="preserve">ILLUSTRATIVE — </t>
    </r>
    <r>
      <rPr>
        <sz val="10"/>
        <rFont val="Noto Sans CJK SC"/>
        <family val="2"/>
      </rPr>
      <t xml:space="preserve">교체</t>
    </r>
  </si>
  <si>
    <t xml:space="preserve">Q-002</t>
  </si>
  <si>
    <t xml:space="preserve">Media AI Agent</t>
  </si>
  <si>
    <t xml:space="preserve">AI Agent SW License</t>
  </si>
  <si>
    <t xml:space="preserve">royalty</t>
  </si>
  <si>
    <t xml:space="preserve">license</t>
  </si>
  <si>
    <t xml:space="preserve">royalty CIT 10%</t>
  </si>
  <si>
    <t xml:space="preserve">RTM-02</t>
  </si>
  <si>
    <t xml:space="preserve">Q-003</t>
  </si>
  <si>
    <t xml:space="preserve">SI / Integration</t>
  </si>
  <si>
    <r>
      <rPr>
        <sz val="10"/>
        <rFont val="Noto Sans CJK SC"/>
        <family val="2"/>
      </rPr>
      <t xml:space="preserve">연동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구축 서비스</t>
    </r>
  </si>
  <si>
    <t xml:space="preserve">service</t>
  </si>
  <si>
    <t xml:space="preserve">LS</t>
  </si>
  <si>
    <t xml:space="preserve">service 5%+5%</t>
  </si>
  <si>
    <t xml:space="preserve">RTM-05</t>
  </si>
  <si>
    <t xml:space="preserve">TOTAL (USD)</t>
  </si>
  <si>
    <r>
      <rPr>
        <b val="true"/>
        <sz val="9"/>
        <color rgb="FFB00020"/>
        <rFont val="Noto Sans CJK SC"/>
        <family val="2"/>
      </rPr>
      <t xml:space="preserve">세율</t>
    </r>
    <r>
      <rPr>
        <b val="true"/>
        <sz val="9"/>
        <color rgb="FFB00020"/>
        <rFont val="Malgun Gothic"/>
        <family val="0"/>
        <charset val="1"/>
      </rPr>
      <t xml:space="preserve">·</t>
    </r>
    <r>
      <rPr>
        <b val="true"/>
        <sz val="9"/>
        <color rgb="FFB00020"/>
        <rFont val="Noto Sans CJK SC"/>
        <family val="2"/>
      </rPr>
      <t xml:space="preserve">세무 처리는 </t>
    </r>
    <r>
      <rPr>
        <b val="true"/>
        <sz val="9"/>
        <color rgb="FFB00020"/>
        <rFont val="Malgun Gothic"/>
        <family val="0"/>
        <charset val="1"/>
      </rPr>
      <t xml:space="preserve">ILLUSTRATIVE </t>
    </r>
    <r>
      <rPr>
        <b val="true"/>
        <sz val="9"/>
        <color rgb="FFB00020"/>
        <rFont val="Noto Sans CJK SC"/>
        <family val="2"/>
      </rPr>
      <t xml:space="preserve">기본값</t>
    </r>
    <r>
      <rPr>
        <b val="true"/>
        <sz val="9"/>
        <color rgb="FFB00020"/>
        <rFont val="Malgun Gothic"/>
        <family val="0"/>
        <charset val="1"/>
      </rPr>
      <t xml:space="preserve">(</t>
    </r>
    <r>
      <rPr>
        <b val="true"/>
        <sz val="9"/>
        <color rgb="FFB00020"/>
        <rFont val="Noto Sans CJK SC"/>
        <family val="2"/>
      </rPr>
      <t xml:space="preserve">연구 기반</t>
    </r>
    <r>
      <rPr>
        <b val="true"/>
        <sz val="9"/>
        <color rgb="FFB00020"/>
        <rFont val="Malgun Gothic"/>
        <family val="0"/>
        <charset val="1"/>
      </rPr>
      <t xml:space="preserve">)</t>
    </r>
    <r>
      <rPr>
        <b val="true"/>
        <sz val="9"/>
        <color rgb="FFB00020"/>
        <rFont val="Noto Sans CJK SC"/>
        <family val="2"/>
      </rPr>
      <t xml:space="preserve">이며 적용은 사안별 — 반드시 세무사 확인</t>
    </r>
    <r>
      <rPr>
        <b val="true"/>
        <sz val="9"/>
        <color rgb="FFB00020"/>
        <rFont val="Malgun Gothic"/>
        <family val="0"/>
        <charset val="1"/>
      </rPr>
      <t xml:space="preserve">. </t>
    </r>
    <r>
      <rPr>
        <b val="true"/>
        <sz val="9"/>
        <color rgb="FFB00020"/>
        <rFont val="Noto Sans CJK SC"/>
        <family val="2"/>
      </rPr>
      <t xml:space="preserve">베트남 상세</t>
    </r>
    <r>
      <rPr>
        <b val="true"/>
        <sz val="9"/>
        <color rgb="FFB00020"/>
        <rFont val="Malgun Gothic"/>
        <family val="0"/>
        <charset val="1"/>
      </rPr>
      <t xml:space="preserve">: vietnam-legal-checklist.md §1</t>
    </r>
  </si>
  <si>
    <t xml:space="preserve">STB</t>
  </si>
  <si>
    <t xml:space="preserve">N</t>
  </si>
  <si>
    <r>
      <rPr>
        <sz val="10"/>
        <rFont val="Malgun Gothic"/>
        <family val="0"/>
        <charset val="1"/>
      </rPr>
      <t xml:space="preserve">goods (</t>
    </r>
    <r>
      <rPr>
        <sz val="10"/>
        <rFont val="Noto Sans CJK SC"/>
        <family val="2"/>
      </rPr>
      <t xml:space="preserve">기기</t>
    </r>
    <r>
      <rPr>
        <sz val="10"/>
        <rFont val="Malgun Gothic"/>
        <family val="0"/>
        <charset val="1"/>
      </rPr>
      <t xml:space="preserve">)</t>
    </r>
  </si>
  <si>
    <t xml:space="preserve">-</t>
  </si>
  <si>
    <t xml:space="preserve">계약 명시</t>
  </si>
  <si>
    <r>
      <rPr>
        <sz val="10"/>
        <rFont val="Malgun Gothic"/>
        <family val="0"/>
        <charset val="1"/>
      </rPr>
      <t xml:space="preserve">VNPT </t>
    </r>
    <r>
      <rPr>
        <sz val="10"/>
        <rFont val="Noto Sans CJK SC"/>
        <family val="2"/>
      </rPr>
      <t xml:space="preserve">원천</t>
    </r>
  </si>
  <si>
    <r>
      <rPr>
        <sz val="10"/>
        <rFont val="Malgun Gothic"/>
        <family val="0"/>
        <charset val="1"/>
      </rPr>
      <t xml:space="preserve">HW </t>
    </r>
    <r>
      <rPr>
        <sz val="10"/>
        <rFont val="Noto Sans CJK SC"/>
        <family val="2"/>
      </rPr>
      <t xml:space="preserve">저율</t>
    </r>
  </si>
  <si>
    <t xml:space="preserve">AI Agent</t>
  </si>
  <si>
    <t xml:space="preserve">확인</t>
  </si>
  <si>
    <t xml:space="preserve">SW license=royalty</t>
  </si>
  <si>
    <r>
      <rPr>
        <sz val="10"/>
        <rFont val="Malgun Gothic"/>
        <family val="0"/>
        <charset val="1"/>
      </rPr>
      <t xml:space="preserve">DTA </t>
    </r>
    <r>
      <rPr>
        <sz val="10"/>
        <rFont val="Noto Sans CJK SC"/>
        <family val="2"/>
      </rPr>
      <t xml:space="preserve">경감 검토</t>
    </r>
  </si>
  <si>
    <r>
      <rPr>
        <sz val="10"/>
        <rFont val="Malgun Gothic"/>
        <family val="0"/>
        <charset val="1"/>
      </rPr>
      <t xml:space="preserve">Y(</t>
    </r>
    <r>
      <rPr>
        <sz val="10"/>
        <rFont val="Noto Sans CJK SC"/>
        <family val="2"/>
      </rPr>
      <t xml:space="preserve">권장</t>
    </r>
    <r>
      <rPr>
        <sz val="10"/>
        <rFont val="Malgun Gothic"/>
        <family val="0"/>
        <charset val="1"/>
      </rPr>
      <t xml:space="preserve">)</t>
    </r>
  </si>
  <si>
    <t xml:space="preserve">협의</t>
  </si>
  <si>
    <r>
      <rPr>
        <sz val="10"/>
        <rFont val="Noto Sans CJK SC"/>
        <family val="2"/>
      </rPr>
      <t xml:space="preserve">로열티 </t>
    </r>
    <r>
      <rPr>
        <sz val="10"/>
        <rFont val="Malgun Gothic"/>
        <family val="0"/>
        <charset val="1"/>
      </rPr>
      <t xml:space="preserve">10% → DTA</t>
    </r>
    <r>
      <rPr>
        <sz val="10"/>
        <rFont val="Noto Sans CJK SC"/>
        <family val="2"/>
      </rPr>
      <t xml:space="preserve">로 경감 가능</t>
    </r>
  </si>
  <si>
    <t xml:space="preserve">SI/Integration</t>
  </si>
  <si>
    <r>
      <rPr>
        <sz val="10"/>
        <rFont val="Noto Sans CJK SC"/>
        <family val="2"/>
      </rPr>
      <t xml:space="preserve">서비스 </t>
    </r>
    <r>
      <rPr>
        <sz val="10"/>
        <rFont val="Malgun Gothic"/>
        <family val="0"/>
        <charset val="1"/>
      </rPr>
      <t xml:space="preserve">5%+5%</t>
    </r>
  </si>
  <si>
    <r>
      <rPr>
        <b val="true"/>
        <sz val="9"/>
        <color rgb="FF1F4E79"/>
        <rFont val="Malgun Gothic"/>
        <family val="0"/>
        <charset val="1"/>
      </rPr>
      <t xml:space="preserve">N-way </t>
    </r>
    <r>
      <rPr>
        <b val="true"/>
        <sz val="9"/>
        <color rgb="FF1F4E79"/>
        <rFont val="Noto Sans CJK SC"/>
        <family val="2"/>
      </rPr>
      <t xml:space="preserve">대사</t>
    </r>
    <r>
      <rPr>
        <b val="true"/>
        <sz val="9"/>
        <color rgb="FF1F4E79"/>
        <rFont val="Malgun Gothic"/>
        <family val="0"/>
        <charset val="1"/>
      </rPr>
      <t xml:space="preserve">: (1)</t>
    </r>
    <r>
      <rPr>
        <b val="true"/>
        <sz val="9"/>
        <color rgb="FF1F4E79"/>
        <rFont val="Noto Sans CJK SC"/>
        <family val="2"/>
      </rPr>
      <t xml:space="preserve">견적 ↔ </t>
    </r>
    <r>
      <rPr>
        <b val="true"/>
        <sz val="9"/>
        <color rgb="FF1F4E79"/>
        <rFont val="Malgun Gothic"/>
        <family val="0"/>
        <charset val="1"/>
      </rPr>
      <t xml:space="preserve">(2)</t>
    </r>
    <r>
      <rPr>
        <b val="true"/>
        <sz val="9"/>
        <color rgb="FF1F4E79"/>
        <rFont val="Noto Sans CJK SC"/>
        <family val="2"/>
      </rPr>
      <t xml:space="preserve">계약</t>
    </r>
    <r>
      <rPr>
        <b val="true"/>
        <sz val="9"/>
        <color rgb="FF1F4E79"/>
        <rFont val="Malgun Gothic"/>
        <family val="0"/>
        <charset val="1"/>
      </rPr>
      <t xml:space="preserve">/PO ↔ (3)</t>
    </r>
    <r>
      <rPr>
        <b val="true"/>
        <sz val="9"/>
        <color rgb="FF1F4E79"/>
        <rFont val="Noto Sans CJK SC"/>
        <family val="2"/>
      </rPr>
      <t xml:space="preserve">검수 ↔ </t>
    </r>
    <r>
      <rPr>
        <b val="true"/>
        <sz val="9"/>
        <color rgb="FF1F4E79"/>
        <rFont val="Malgun Gothic"/>
        <family val="0"/>
        <charset val="1"/>
      </rPr>
      <t xml:space="preserve">(4)</t>
    </r>
    <r>
      <rPr>
        <b val="true"/>
        <sz val="9"/>
        <color rgb="FF1F4E79"/>
        <rFont val="Noto Sans CJK SC"/>
        <family val="2"/>
      </rPr>
      <t xml:space="preserve">송장 ↔ </t>
    </r>
    <r>
      <rPr>
        <b val="true"/>
        <sz val="9"/>
        <color rgb="FF1F4E79"/>
        <rFont val="Malgun Gothic"/>
        <family val="0"/>
        <charset val="1"/>
      </rPr>
      <t xml:space="preserve">(5)</t>
    </r>
    <r>
      <rPr>
        <b val="true"/>
        <sz val="9"/>
        <color rgb="FF1F4E79"/>
        <rFont val="Noto Sans CJK SC"/>
        <family val="2"/>
      </rPr>
      <t xml:space="preserve">지급 — 전부 일치해야 </t>
    </r>
    <r>
      <rPr>
        <b val="true"/>
        <sz val="9"/>
        <color rgb="FF1F4E79"/>
        <rFont val="Malgun Gothic"/>
        <family val="0"/>
        <charset val="1"/>
      </rPr>
      <t xml:space="preserve">'Matched'. </t>
    </r>
    <r>
      <rPr>
        <b val="true"/>
        <sz val="9"/>
        <color rgb="FF1F4E79"/>
        <rFont val="Noto Sans CJK SC"/>
        <family val="2"/>
      </rPr>
      <t xml:space="preserve">검수연동 지급</t>
    </r>
    <r>
      <rPr>
        <b val="true"/>
        <sz val="9"/>
        <color rgb="FF1F4E79"/>
        <rFont val="Malgun Gothic"/>
        <family val="0"/>
        <charset val="1"/>
      </rPr>
      <t xml:space="preserve">·</t>
    </r>
    <r>
      <rPr>
        <b val="true"/>
        <sz val="9"/>
        <color rgb="FF1F4E79"/>
        <rFont val="Noto Sans CJK SC"/>
        <family val="2"/>
      </rPr>
      <t xml:space="preserve">변경통제 준수</t>
    </r>
    <r>
      <rPr>
        <b val="true"/>
        <sz val="9"/>
        <color rgb="FF1F4E79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</si>
  <si>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STB </t>
    </r>
    <r>
      <rPr>
        <sz val="10"/>
        <rFont val="Noto Sans CJK SC"/>
        <family val="2"/>
      </rPr>
      <t xml:space="preserve">단말 </t>
    </r>
    <r>
      <rPr>
        <sz val="10"/>
        <rFont val="Malgun Gothic"/>
        <family val="0"/>
        <charset val="1"/>
      </rPr>
      <t xml:space="preserve">OEM</t>
    </r>
  </si>
  <si>
    <t xml:space="preserve">2026-09-01</t>
  </si>
  <si>
    <t xml:space="preserve">ILLUSTRATIVE</t>
  </si>
  <si>
    <t xml:space="preserve">AI Agent License</t>
  </si>
  <si>
    <r>
      <rPr>
        <b val="true"/>
        <sz val="9"/>
        <color rgb="FF1F4E79"/>
        <rFont val="Noto Sans CJK SC"/>
        <family val="2"/>
      </rPr>
      <t xml:space="preserve">백투백 </t>
    </r>
    <r>
      <rPr>
        <b val="true"/>
        <sz val="9"/>
        <color rgb="FF1F4E79"/>
        <rFont val="Malgun Gothic"/>
        <family val="0"/>
        <charset val="1"/>
      </rPr>
      <t xml:space="preserve">Flow-Down: KT–VNPT </t>
    </r>
    <r>
      <rPr>
        <b val="true"/>
        <sz val="9"/>
        <color rgb="FF1F4E79"/>
        <rFont val="Noto Sans CJK SC"/>
        <family val="2"/>
      </rPr>
      <t xml:space="preserve">계약 의무가 협력사 계약에 동일 반영</t>
    </r>
    <r>
      <rPr>
        <b val="true"/>
        <sz val="9"/>
        <color rgb="FF1F4E79"/>
        <rFont val="Malgun Gothic"/>
        <family val="0"/>
        <charset val="1"/>
      </rPr>
      <t xml:space="preserve">(flow-down)</t>
    </r>
    <r>
      <rPr>
        <b val="true"/>
        <sz val="9"/>
        <color rgb="FF1F4E79"/>
        <rFont val="Noto Sans CJK SC"/>
        <family val="2"/>
      </rPr>
      <t xml:space="preserve">되는지 점검</t>
    </r>
    <r>
      <rPr>
        <b val="true"/>
        <sz val="9"/>
        <color rgb="FF1F4E79"/>
        <rFont val="Malgun Gothic"/>
        <family val="0"/>
        <charset val="1"/>
      </rPr>
      <t xml:space="preserve">. </t>
    </r>
    <r>
      <rPr>
        <b val="true"/>
        <sz val="9"/>
        <color rgb="FF1F4E79"/>
        <rFont val="Noto Sans CJK SC"/>
        <family val="2"/>
      </rPr>
      <t xml:space="preserve">불일치 </t>
    </r>
    <r>
      <rPr>
        <b val="true"/>
        <sz val="9"/>
        <color rgb="FF1F4E79"/>
        <rFont val="Malgun Gothic"/>
        <family val="0"/>
        <charset val="1"/>
      </rPr>
      <t xml:space="preserve">= KT </t>
    </r>
    <r>
      <rPr>
        <b val="true"/>
        <sz val="9"/>
        <color rgb="FF1F4E79"/>
        <rFont val="Noto Sans CJK SC"/>
        <family val="2"/>
      </rPr>
      <t xml:space="preserve">중간 리스크</t>
    </r>
    <r>
      <rPr>
        <b val="true"/>
        <sz val="9"/>
        <color rgb="FF1F4E79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</si>
  <si>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지급 마일스톤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검수연동</t>
    </r>
  </si>
  <si>
    <r>
      <rPr>
        <sz val="10"/>
        <rFont val="Noto Sans CJK SC"/>
        <family val="2"/>
      </rPr>
      <t xml:space="preserve">통화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환리스크 부담</t>
    </r>
  </si>
  <si>
    <r>
      <rPr>
        <sz val="10"/>
        <rFont val="Malgun Gothic"/>
        <family val="0"/>
        <charset val="1"/>
      </rPr>
      <t xml:space="preserve">MG / Rev Share </t>
    </r>
    <r>
      <rPr>
        <sz val="10"/>
        <rFont val="Noto Sans CJK SC"/>
        <family val="2"/>
      </rPr>
      <t xml:space="preserve">협력사 배분</t>
    </r>
  </si>
  <si>
    <r>
      <rPr>
        <sz val="10"/>
        <rFont val="Noto Sans CJK SC"/>
        <family val="2"/>
      </rPr>
      <t xml:space="preserve">하자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페널티</t>
    </r>
    <r>
      <rPr>
        <sz val="10"/>
        <rFont val="Malgun Gothic"/>
        <family val="0"/>
        <charset val="1"/>
      </rPr>
      <t xml:space="preserve">·SLA pass-through</t>
    </r>
  </si>
  <si>
    <r>
      <rPr>
        <sz val="10"/>
        <rFont val="Malgun Gothic"/>
        <family val="0"/>
        <charset val="1"/>
      </rPr>
      <t xml:space="preserve">IP / License </t>
    </r>
    <r>
      <rPr>
        <sz val="10"/>
        <rFont val="Noto Sans CJK SC"/>
        <family val="2"/>
      </rPr>
      <t xml:space="preserve">체인</t>
    </r>
  </si>
  <si>
    <r>
      <rPr>
        <sz val="10"/>
        <rFont val="Noto Sans CJK SC"/>
        <family val="2"/>
      </rPr>
      <t xml:space="preserve">계약기간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해지 정합</t>
    </r>
  </si>
  <si>
    <r>
      <rPr>
        <sz val="10"/>
        <rFont val="Noto Sans CJK SC"/>
        <family val="2"/>
      </rPr>
      <t xml:space="preserve">세금 부담</t>
    </r>
    <r>
      <rPr>
        <sz val="10"/>
        <rFont val="Malgun Gothic"/>
        <family val="0"/>
        <charset val="1"/>
      </rPr>
      <t xml:space="preserve">·gross-up·</t>
    </r>
    <r>
      <rPr>
        <sz val="10"/>
        <rFont val="Noto Sans CJK SC"/>
        <family val="2"/>
      </rPr>
      <t xml:space="preserve">분류</t>
    </r>
  </si>
  <si>
    <r>
      <rPr>
        <sz val="10"/>
        <rFont val="Noto Sans CJK SC"/>
        <family val="2"/>
      </rPr>
      <t xml:space="preserve">납기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물류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통관 책임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</si>
</sst>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Malgun Gothic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Malgun Gothic"/>
      <family val="0"/>
      <charset val="1"/>
    </font>
    <font>
      <b val="true"/>
      <sz val="10"/>
      <color rgb="FF1F4E79"/>
      <name val="Noto Sans CJK SC"/>
      <family val="2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color rgb="FF1F4E7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Malgun Gothic"/>
      <family val="0"/>
      <charset val="1"/>
    </font>
    <font>
      <b val="true"/>
      <sz val="11"/>
      <name val="Malgun Gothic"/>
      <family val="0"/>
      <charset val="1"/>
    </font>
    <font>
      <b val="true"/>
      <sz val="9"/>
      <color rgb="FFB00020"/>
      <name val="Noto Sans CJK SC"/>
      <family val="2"/>
    </font>
    <font>
      <b val="true"/>
      <sz val="9"/>
      <color rgb="FFB00020"/>
      <name val="Malgun Gothic"/>
      <family val="0"/>
      <charset val="1"/>
    </font>
    <font>
      <b val="true"/>
      <sz val="9"/>
      <color rgb="FF1F4E79"/>
      <name val="Malgun Gothic"/>
      <family val="0"/>
      <charset val="1"/>
    </font>
    <font>
      <b val="true"/>
      <sz val="9"/>
      <color rgb="FF1F4E7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5E8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E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5E8D4"/>
        </patternFill>
      </fill>
    </dxf>
    <dxf>
      <fill>
        <patternFill>
          <bgColor rgb="FFF8CE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4D6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1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C6" s="4" t="s">
        <v>3</v>
      </c>
    </row>
    <row r="8" customFormat="false" ht="29.85" hidden="false" customHeight="false" outlineLevel="0" collapsed="false">
      <c r="B8" s="3" t="s">
        <v>4</v>
      </c>
      <c r="C8" s="5" t="s">
        <v>5</v>
      </c>
    </row>
    <row r="9" customFormat="false" ht="15" hidden="false" customHeight="false" outlineLevel="0" collapsed="false">
      <c r="B9" s="3" t="s">
        <v>6</v>
      </c>
      <c r="C9" s="4" t="s">
        <v>7</v>
      </c>
    </row>
    <row r="10" customFormat="false" ht="15" hidden="false" customHeight="false" outlineLevel="0" collapsed="false">
      <c r="B10" s="3" t="s">
        <v>8</v>
      </c>
      <c r="C10" s="4" t="s">
        <v>9</v>
      </c>
    </row>
    <row r="11" customFormat="false" ht="29.85" hidden="false" customHeight="false" outlineLevel="0" collapsed="false">
      <c r="B11" s="3" t="s">
        <v>10</v>
      </c>
      <c r="C11" s="5" t="s">
        <v>11</v>
      </c>
    </row>
    <row r="13" customFormat="false" ht="29.85" hidden="false" customHeight="false" outlineLevel="0" collapsed="false">
      <c r="B13" s="3" t="s">
        <v>12</v>
      </c>
      <c r="C13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8"/>
    <col collapsed="false" customWidth="true" hidden="false" outlineLevel="0" max="14" min="12" style="0" width="13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31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7" t="s">
        <v>22</v>
      </c>
      <c r="J1" s="7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</row>
    <row r="2" customFormat="false" ht="26.85" hidden="false" customHeight="false" outlineLevel="0" collapsed="false">
      <c r="A2" s="8" t="s">
        <v>30</v>
      </c>
      <c r="B2" s="8" t="s">
        <v>31</v>
      </c>
      <c r="C2" s="9" t="s">
        <v>32</v>
      </c>
      <c r="D2" s="8" t="s">
        <v>33</v>
      </c>
      <c r="E2" s="8" t="s">
        <v>34</v>
      </c>
      <c r="F2" s="9" t="n">
        <v>1000</v>
      </c>
      <c r="G2" s="8" t="s">
        <v>35</v>
      </c>
      <c r="H2" s="9" t="n">
        <v>1</v>
      </c>
      <c r="I2" s="10" t="n">
        <v>100</v>
      </c>
      <c r="J2" s="10" t="n">
        <f aca="false">IFERROR(I2*F2*H2,"")</f>
        <v>100000</v>
      </c>
      <c r="K2" s="11" t="n">
        <v>0.1</v>
      </c>
      <c r="L2" s="10" t="n">
        <f aca="false">IFERROR(J2*K2,"")</f>
        <v>10000</v>
      </c>
      <c r="M2" s="10" t="n">
        <f aca="false">IFERROR(J2+L2,"")</f>
        <v>110000</v>
      </c>
      <c r="N2" s="8" t="s">
        <v>36</v>
      </c>
      <c r="O2" s="8" t="s">
        <v>37</v>
      </c>
      <c r="P2" s="8" t="s">
        <v>38</v>
      </c>
    </row>
    <row r="3" customFormat="false" ht="26.85" hidden="false" customHeight="false" outlineLevel="0" collapsed="false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9" t="n">
        <v>1</v>
      </c>
      <c r="G3" s="8" t="s">
        <v>35</v>
      </c>
      <c r="H3" s="9" t="n">
        <v>1</v>
      </c>
      <c r="I3" s="10" t="n">
        <v>50000</v>
      </c>
      <c r="J3" s="10" t="n">
        <f aca="false">IFERROR(I3*F3*H3,"")</f>
        <v>50000</v>
      </c>
      <c r="K3" s="11" t="n">
        <v>0.15</v>
      </c>
      <c r="L3" s="10" t="n">
        <f aca="false">IFERROR(J3*K3,"")</f>
        <v>7500</v>
      </c>
      <c r="M3" s="10" t="n">
        <f aca="false">IFERROR(J3+L3,"")</f>
        <v>57500</v>
      </c>
      <c r="N3" s="8" t="s">
        <v>44</v>
      </c>
      <c r="O3" s="8" t="s">
        <v>45</v>
      </c>
      <c r="P3" s="8" t="s">
        <v>38</v>
      </c>
    </row>
    <row r="4" customFormat="false" ht="26.85" hidden="false" customHeight="false" outlineLevel="0" collapsed="false">
      <c r="A4" s="8" t="s">
        <v>46</v>
      </c>
      <c r="B4" s="8" t="s">
        <v>47</v>
      </c>
      <c r="C4" s="9" t="s">
        <v>48</v>
      </c>
      <c r="D4" s="8" t="s">
        <v>49</v>
      </c>
      <c r="E4" s="8" t="s">
        <v>50</v>
      </c>
      <c r="F4" s="9" t="n">
        <v>1</v>
      </c>
      <c r="G4" s="8" t="s">
        <v>35</v>
      </c>
      <c r="H4" s="9" t="n">
        <v>1</v>
      </c>
      <c r="I4" s="10" t="n">
        <v>80000</v>
      </c>
      <c r="J4" s="10" t="n">
        <f aca="false">IFERROR(I4*F4*H4,"")</f>
        <v>80000</v>
      </c>
      <c r="K4" s="11" t="n">
        <v>0.12</v>
      </c>
      <c r="L4" s="10" t="n">
        <f aca="false">IFERROR(J4*K4,"")</f>
        <v>9600</v>
      </c>
      <c r="M4" s="10" t="n">
        <f aca="false">IFERROR(J4+L4,"")</f>
        <v>89600</v>
      </c>
      <c r="N4" s="8" t="s">
        <v>51</v>
      </c>
      <c r="O4" s="8" t="s">
        <v>52</v>
      </c>
      <c r="P4" s="8" t="s">
        <v>38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3"/>
      <c r="J5" s="14" t="n">
        <f aca="false">IFERROR(I5*F5*H5,"")</f>
        <v>0</v>
      </c>
      <c r="K5" s="15"/>
      <c r="L5" s="14" t="n">
        <f aca="false">IFERROR(J5*K5,"")</f>
        <v>0</v>
      </c>
      <c r="M5" s="14" t="n">
        <f aca="false">IFERROR(J5+L5,"")</f>
        <v>0</v>
      </c>
      <c r="N5" s="12"/>
      <c r="O5" s="12"/>
      <c r="P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3"/>
      <c r="J6" s="14" t="n">
        <f aca="false">IFERROR(I6*F6*H6,"")</f>
        <v>0</v>
      </c>
      <c r="K6" s="15"/>
      <c r="L6" s="14" t="n">
        <f aca="false">IFERROR(J6*K6,"")</f>
        <v>0</v>
      </c>
      <c r="M6" s="14" t="n">
        <f aca="false">IFERROR(J6+L6,"")</f>
        <v>0</v>
      </c>
      <c r="N6" s="12"/>
      <c r="O6" s="12"/>
      <c r="P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3"/>
      <c r="J7" s="14" t="n">
        <f aca="false">IFERROR(I7*F7*H7,"")</f>
        <v>0</v>
      </c>
      <c r="K7" s="15"/>
      <c r="L7" s="14" t="n">
        <f aca="false">IFERROR(J7*K7,"")</f>
        <v>0</v>
      </c>
      <c r="M7" s="14" t="n">
        <f aca="false">IFERROR(J7+L7,"")</f>
        <v>0</v>
      </c>
      <c r="N7" s="12"/>
      <c r="O7" s="12"/>
      <c r="P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3"/>
      <c r="J8" s="14" t="n">
        <f aca="false">IFERROR(I8*F8*H8,"")</f>
        <v>0</v>
      </c>
      <c r="K8" s="15"/>
      <c r="L8" s="14" t="n">
        <f aca="false">IFERROR(J8*K8,"")</f>
        <v>0</v>
      </c>
      <c r="M8" s="14" t="n">
        <f aca="false">IFERROR(J8+L8,"")</f>
        <v>0</v>
      </c>
      <c r="N8" s="12"/>
      <c r="O8" s="12"/>
      <c r="P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3"/>
      <c r="J9" s="14" t="n">
        <f aca="false">IFERROR(I9*F9*H9,"")</f>
        <v>0</v>
      </c>
      <c r="K9" s="15"/>
      <c r="L9" s="14" t="n">
        <f aca="false">IFERROR(J9*K9,"")</f>
        <v>0</v>
      </c>
      <c r="M9" s="14" t="n">
        <f aca="false">IFERROR(J9+L9,"")</f>
        <v>0</v>
      </c>
      <c r="N9" s="12"/>
      <c r="O9" s="12"/>
      <c r="P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3"/>
      <c r="J10" s="14" t="n">
        <f aca="false">IFERROR(I10*F10*H10,"")</f>
        <v>0</v>
      </c>
      <c r="K10" s="15"/>
      <c r="L10" s="14" t="n">
        <f aca="false">IFERROR(J10*K10,"")</f>
        <v>0</v>
      </c>
      <c r="M10" s="14" t="n">
        <f aca="false">IFERROR(J10+L10,"")</f>
        <v>0</v>
      </c>
      <c r="N10" s="12"/>
      <c r="O10" s="12"/>
      <c r="P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3"/>
      <c r="J11" s="14" t="n">
        <f aca="false">IFERROR(I11*F11*H11,"")</f>
        <v>0</v>
      </c>
      <c r="K11" s="15"/>
      <c r="L11" s="14" t="n">
        <f aca="false">IFERROR(J11*K11,"")</f>
        <v>0</v>
      </c>
      <c r="M11" s="14" t="n">
        <f aca="false">IFERROR(J11+L11,"")</f>
        <v>0</v>
      </c>
      <c r="N11" s="12"/>
      <c r="O11" s="12"/>
      <c r="P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3"/>
      <c r="J12" s="14" t="n">
        <f aca="false">IFERROR(I12*F12*H12,"")</f>
        <v>0</v>
      </c>
      <c r="K12" s="15"/>
      <c r="L12" s="14" t="n">
        <f aca="false">IFERROR(J12*K12,"")</f>
        <v>0</v>
      </c>
      <c r="M12" s="14" t="n">
        <f aca="false">IFERROR(J12+L12,"")</f>
        <v>0</v>
      </c>
      <c r="N12" s="12"/>
      <c r="O12" s="12"/>
      <c r="P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3"/>
      <c r="J13" s="14" t="n">
        <f aca="false">IFERROR(I13*F13*H13,"")</f>
        <v>0</v>
      </c>
      <c r="K13" s="15"/>
      <c r="L13" s="14" t="n">
        <f aca="false">IFERROR(J13*K13,"")</f>
        <v>0</v>
      </c>
      <c r="M13" s="14" t="n">
        <f aca="false">IFERROR(J13+L13,"")</f>
        <v>0</v>
      </c>
      <c r="N13" s="12"/>
      <c r="O13" s="12"/>
      <c r="P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3"/>
      <c r="J14" s="14" t="n">
        <f aca="false">IFERROR(I14*F14*H14,"")</f>
        <v>0</v>
      </c>
      <c r="K14" s="15"/>
      <c r="L14" s="14" t="n">
        <f aca="false">IFERROR(J14*K14,"")</f>
        <v>0</v>
      </c>
      <c r="M14" s="14" t="n">
        <f aca="false">IFERROR(J14+L14,"")</f>
        <v>0</v>
      </c>
      <c r="N14" s="12"/>
      <c r="O14" s="12"/>
      <c r="P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3"/>
      <c r="J15" s="14" t="n">
        <f aca="false">IFERROR(I15*F15*H15,"")</f>
        <v>0</v>
      </c>
      <c r="K15" s="15"/>
      <c r="L15" s="14" t="n">
        <f aca="false">IFERROR(J15*K15,"")</f>
        <v>0</v>
      </c>
      <c r="M15" s="14" t="n">
        <f aca="false">IFERROR(J15+L15,"")</f>
        <v>0</v>
      </c>
      <c r="N15" s="12"/>
      <c r="O15" s="12"/>
      <c r="P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3"/>
      <c r="J16" s="14" t="n">
        <f aca="false">IFERROR(I16*F16*H16,"")</f>
        <v>0</v>
      </c>
      <c r="K16" s="15"/>
      <c r="L16" s="14" t="n">
        <f aca="false">IFERROR(J16*K16,"")</f>
        <v>0</v>
      </c>
      <c r="M16" s="14" t="n">
        <f aca="false">IFERROR(J16+L16,"")</f>
        <v>0</v>
      </c>
      <c r="N16" s="12"/>
      <c r="O16" s="12"/>
      <c r="P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3"/>
      <c r="J17" s="14" t="n">
        <f aca="false">IFERROR(I17*F17*H17,"")</f>
        <v>0</v>
      </c>
      <c r="K17" s="15"/>
      <c r="L17" s="14" t="n">
        <f aca="false">IFERROR(J17*K17,"")</f>
        <v>0</v>
      </c>
      <c r="M17" s="14" t="n">
        <f aca="false">IFERROR(J17+L17,"")</f>
        <v>0</v>
      </c>
      <c r="N17" s="12"/>
      <c r="O17" s="12"/>
      <c r="P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3"/>
      <c r="J18" s="14" t="n">
        <f aca="false">IFERROR(I18*F18*H18,"")</f>
        <v>0</v>
      </c>
      <c r="K18" s="15"/>
      <c r="L18" s="14" t="n">
        <f aca="false">IFERROR(J18*K18,"")</f>
        <v>0</v>
      </c>
      <c r="M18" s="14" t="n">
        <f aca="false">IFERROR(J18+L18,"")</f>
        <v>0</v>
      </c>
      <c r="N18" s="12"/>
      <c r="O18" s="12"/>
      <c r="P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3"/>
      <c r="J19" s="14" t="n">
        <f aca="false">IFERROR(I19*F19*H19,"")</f>
        <v>0</v>
      </c>
      <c r="K19" s="15"/>
      <c r="L19" s="14" t="n">
        <f aca="false">IFERROR(J19*K19,"")</f>
        <v>0</v>
      </c>
      <c r="M19" s="14" t="n">
        <f aca="false">IFERROR(J19+L19,"")</f>
        <v>0</v>
      </c>
      <c r="N19" s="12"/>
      <c r="O19" s="12"/>
      <c r="P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3"/>
      <c r="J20" s="14" t="n">
        <f aca="false">IFERROR(I20*F20*H20,"")</f>
        <v>0</v>
      </c>
      <c r="K20" s="15"/>
      <c r="L20" s="14" t="n">
        <f aca="false">IFERROR(J20*K20,"")</f>
        <v>0</v>
      </c>
      <c r="M20" s="14" t="n">
        <f aca="false">IFERROR(J20+L20,"")</f>
        <v>0</v>
      </c>
      <c r="N20" s="12"/>
      <c r="O20" s="12"/>
      <c r="P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3"/>
      <c r="J21" s="14" t="n">
        <f aca="false">IFERROR(I21*F21*H21,"")</f>
        <v>0</v>
      </c>
      <c r="K21" s="15"/>
      <c r="L21" s="14" t="n">
        <f aca="false">IFERROR(J21*K21,"")</f>
        <v>0</v>
      </c>
      <c r="M21" s="14" t="n">
        <f aca="false">IFERROR(J21+L21,"")</f>
        <v>0</v>
      </c>
      <c r="N21" s="12"/>
      <c r="O21" s="12"/>
      <c r="P21" s="12"/>
    </row>
    <row r="22" customFormat="false" ht="15" hidden="false" customHeight="false" outlineLevel="0" collapsed="false">
      <c r="B22" s="16" t="s">
        <v>53</v>
      </c>
      <c r="J22" s="17" t="n">
        <f aca="false">SUM(J2:J21)</f>
        <v>230000</v>
      </c>
      <c r="L22" s="17" t="n">
        <f aca="false">SUM(L2:L21)</f>
        <v>27100</v>
      </c>
      <c r="M22" s="17" t="n">
        <f aca="false">SUM(M2:M21)</f>
        <v>257100</v>
      </c>
    </row>
  </sheetData>
  <autoFilter ref="A1:P21"/>
  <dataValidations count="2">
    <dataValidation allowBlank="true" errorStyle="stop" operator="between" showDropDown="false" showErrorMessage="false" showInputMessage="false" sqref="D2:D21" type="list">
      <formula1>"goods,royalty,service"</formula1>
      <formula2>0</formula2>
    </dataValidation>
    <dataValidation allowBlank="true" errorStyle="stop" operator="between" showDropDown="false" showErrorMessage="false" showInputMessage="false" sqref="G2:G21" type="list">
      <formula1>"KRW,USD,VND"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</cols>
  <sheetData>
    <row r="1" customFormat="false" ht="25.5" hidden="false" customHeight="true" outlineLevel="0" collapsed="false">
      <c r="A1" s="18" t="s">
        <v>54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1.5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5" hidden="false" customHeight="false" outlineLevel="0" collapsed="false">
      <c r="A3" s="8" t="s">
        <v>30</v>
      </c>
      <c r="B3" s="8" t="s">
        <v>55</v>
      </c>
      <c r="C3" s="8" t="s">
        <v>33</v>
      </c>
      <c r="D3" s="11" t="n">
        <v>0.1</v>
      </c>
      <c r="E3" s="11" t="n">
        <v>0</v>
      </c>
      <c r="F3" s="8" t="s">
        <v>56</v>
      </c>
      <c r="G3" s="11" t="n">
        <v>0.01</v>
      </c>
      <c r="H3" s="11" t="n">
        <v>0.01</v>
      </c>
      <c r="I3" s="8" t="s">
        <v>57</v>
      </c>
      <c r="J3" s="8" t="s">
        <v>58</v>
      </c>
      <c r="K3" s="9" t="s">
        <v>59</v>
      </c>
      <c r="L3" s="8" t="s">
        <v>60</v>
      </c>
      <c r="M3" s="8" t="s">
        <v>61</v>
      </c>
    </row>
    <row r="4" customFormat="false" ht="29.85" hidden="false" customHeight="false" outlineLevel="0" collapsed="false">
      <c r="A4" s="8" t="s">
        <v>39</v>
      </c>
      <c r="B4" s="8" t="s">
        <v>62</v>
      </c>
      <c r="C4" s="8" t="s">
        <v>42</v>
      </c>
      <c r="D4" s="11" t="n">
        <v>0.1</v>
      </c>
      <c r="E4" s="11" t="n">
        <v>0</v>
      </c>
      <c r="F4" s="9" t="s">
        <v>63</v>
      </c>
      <c r="G4" s="11" t="n">
        <v>0</v>
      </c>
      <c r="H4" s="11" t="n">
        <v>0.1</v>
      </c>
      <c r="I4" s="8" t="s">
        <v>64</v>
      </c>
      <c r="J4" s="8" t="s">
        <v>65</v>
      </c>
      <c r="K4" s="8" t="s">
        <v>66</v>
      </c>
      <c r="L4" s="9" t="s">
        <v>67</v>
      </c>
      <c r="M4" s="9" t="s">
        <v>68</v>
      </c>
    </row>
    <row r="5" customFormat="false" ht="15" hidden="false" customHeight="false" outlineLevel="0" collapsed="false">
      <c r="A5" s="8" t="s">
        <v>46</v>
      </c>
      <c r="B5" s="8" t="s">
        <v>69</v>
      </c>
      <c r="C5" s="8" t="s">
        <v>49</v>
      </c>
      <c r="D5" s="11" t="n">
        <v>0.1</v>
      </c>
      <c r="E5" s="11" t="n">
        <v>0</v>
      </c>
      <c r="F5" s="8" t="s">
        <v>56</v>
      </c>
      <c r="G5" s="11" t="n">
        <v>0.05</v>
      </c>
      <c r="H5" s="11" t="n">
        <v>0.05</v>
      </c>
      <c r="I5" s="8" t="s">
        <v>49</v>
      </c>
      <c r="J5" s="8" t="s">
        <v>58</v>
      </c>
      <c r="K5" s="9" t="s">
        <v>67</v>
      </c>
      <c r="L5" s="9" t="s">
        <v>67</v>
      </c>
      <c r="M5" s="9" t="s">
        <v>70</v>
      </c>
    </row>
    <row r="6" customFormat="false" ht="15" hidden="false" customHeight="false" outlineLevel="0" collapsed="false">
      <c r="A6" s="12"/>
      <c r="B6" s="12"/>
      <c r="C6" s="12"/>
      <c r="D6" s="15"/>
      <c r="E6" s="15"/>
      <c r="F6" s="12"/>
      <c r="G6" s="15"/>
      <c r="H6" s="15"/>
      <c r="I6" s="12"/>
      <c r="J6" s="15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5"/>
      <c r="E7" s="15"/>
      <c r="F7" s="12"/>
      <c r="G7" s="15"/>
      <c r="H7" s="15"/>
      <c r="I7" s="12"/>
      <c r="J7" s="15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5"/>
      <c r="E8" s="15"/>
      <c r="F8" s="12"/>
      <c r="G8" s="15"/>
      <c r="H8" s="15"/>
      <c r="I8" s="12"/>
      <c r="J8" s="15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5"/>
      <c r="E9" s="15"/>
      <c r="F9" s="12"/>
      <c r="G9" s="15"/>
      <c r="H9" s="15"/>
      <c r="I9" s="12"/>
      <c r="J9" s="15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5"/>
      <c r="E10" s="15"/>
      <c r="F10" s="12"/>
      <c r="G10" s="15"/>
      <c r="H10" s="15"/>
      <c r="I10" s="12"/>
      <c r="J10" s="15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5"/>
      <c r="E11" s="15"/>
      <c r="F11" s="12"/>
      <c r="G11" s="15"/>
      <c r="H11" s="15"/>
      <c r="I11" s="12"/>
      <c r="J11" s="15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5"/>
      <c r="E12" s="15"/>
      <c r="F12" s="12"/>
      <c r="G12" s="15"/>
      <c r="H12" s="15"/>
      <c r="I12" s="12"/>
      <c r="J12" s="15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5"/>
      <c r="E13" s="15"/>
      <c r="F13" s="12"/>
      <c r="G13" s="15"/>
      <c r="H13" s="15"/>
      <c r="I13" s="12"/>
      <c r="J13" s="15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5"/>
      <c r="E14" s="15"/>
      <c r="F14" s="12"/>
      <c r="G14" s="15"/>
      <c r="H14" s="15"/>
      <c r="I14" s="12"/>
      <c r="J14" s="15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5"/>
      <c r="E15" s="15"/>
      <c r="F15" s="12"/>
      <c r="G15" s="15"/>
      <c r="H15" s="15"/>
      <c r="I15" s="12"/>
      <c r="J15" s="15"/>
      <c r="K15" s="12"/>
      <c r="L15" s="12"/>
      <c r="M15" s="12"/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C3:C15" type="list">
      <formula1>"goods,royalty,service"</formula1>
      <formula2>0</formula2>
    </dataValidation>
    <dataValidation allowBlank="true" errorStyle="stop" operator="between" showDropDown="false" showErrorMessage="false" showInputMessage="false" sqref="F3:F15" type="list">
      <formula1>"Y,N,확인"</formula1>
      <formula2>0</formula2>
    </dataValidation>
    <dataValidation allowBlank="true" errorStyle="stop" operator="between" showDropDown="false" showErrorMessage="false" showInputMessage="false" sqref="K3:K15" type="list">
      <formula1>"Y,N,Y(권장),협의"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8" min="4" style="0" width="14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4"/>
  </cols>
  <sheetData>
    <row r="1" customFormat="false" ht="25.5" hidden="false" customHeight="true" outlineLevel="0" collapsed="false">
      <c r="A1" s="19" t="s">
        <v>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31.5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15" hidden="false" customHeight="false" outlineLevel="0" collapsed="false">
      <c r="A3" s="8" t="s">
        <v>30</v>
      </c>
      <c r="B3" s="8" t="s">
        <v>72</v>
      </c>
      <c r="C3" s="8" t="s">
        <v>35</v>
      </c>
      <c r="D3" s="10" t="n">
        <v>100000</v>
      </c>
      <c r="E3" s="10" t="n">
        <v>100000</v>
      </c>
      <c r="F3" s="10" t="n">
        <v>100000</v>
      </c>
      <c r="G3" s="10" t="n">
        <v>100000</v>
      </c>
      <c r="H3" s="10" t="n">
        <v>0</v>
      </c>
      <c r="I3" s="20" t="str">
        <f aca="false">IF(COUNT(D3:H3)&lt;5,"…",IF(AND(D3=E3,E3=F3,F3=G3,G3=H3),"Matched","CHECK"))</f>
        <v>CHECK</v>
      </c>
      <c r="J3" s="10" t="n">
        <f aca="false">IFERROR(MAX(D3:H3)-MIN(D3:H3),"")</f>
        <v>100000</v>
      </c>
      <c r="K3" s="8" t="s">
        <v>73</v>
      </c>
      <c r="L3" s="9"/>
      <c r="M3" s="8" t="s">
        <v>74</v>
      </c>
    </row>
    <row r="4" customFormat="false" ht="15" hidden="false" customHeight="false" outlineLevel="0" collapsed="false">
      <c r="A4" s="8" t="s">
        <v>39</v>
      </c>
      <c r="B4" s="8" t="s">
        <v>75</v>
      </c>
      <c r="C4" s="8" t="s">
        <v>35</v>
      </c>
      <c r="D4" s="10" t="n">
        <v>57500</v>
      </c>
      <c r="E4" s="10" t="n">
        <v>57500</v>
      </c>
      <c r="F4" s="10" t="n">
        <v>57500</v>
      </c>
      <c r="G4" s="10" t="n">
        <v>0</v>
      </c>
      <c r="H4" s="10" t="n">
        <v>0</v>
      </c>
      <c r="I4" s="20" t="str">
        <f aca="false">IF(COUNT(D4:H4)&lt;5,"…",IF(AND(D4=E4,E4=F4,F4=G4,G4=H4),"Matched","CHECK"))</f>
        <v>CHECK</v>
      </c>
      <c r="J4" s="10" t="n">
        <f aca="false">IFERROR(MAX(D4:H4)-MIN(D4:H4),"")</f>
        <v>57500</v>
      </c>
      <c r="K4" s="9"/>
      <c r="L4" s="9"/>
      <c r="M4" s="8" t="s">
        <v>74</v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3"/>
      <c r="G5" s="13"/>
      <c r="H5" s="13"/>
      <c r="I5" s="21" t="str">
        <f aca="false">IF(COUNT(D5:H5)&lt;5,"…",IF(AND(D5=E5,E5=F5,F5=G5,G5=H5),"Matched","CHECK"))</f>
        <v>…</v>
      </c>
      <c r="J5" s="14" t="n">
        <f aca="false">IFERROR(MAX(D5:H5)-MIN(D5:H5),"")</f>
        <v>0</v>
      </c>
      <c r="K5" s="12"/>
      <c r="L5" s="12"/>
      <c r="M5" s="12"/>
    </row>
    <row r="6" customFormat="false" ht="15" hidden="false" customHeight="false" outlineLevel="0" collapsed="false">
      <c r="A6" s="12"/>
      <c r="B6" s="12"/>
      <c r="C6" s="12"/>
      <c r="D6" s="13"/>
      <c r="E6" s="13"/>
      <c r="F6" s="13"/>
      <c r="G6" s="13"/>
      <c r="H6" s="13"/>
      <c r="I6" s="21" t="str">
        <f aca="false">IF(COUNT(D6:H6)&lt;5,"…",IF(AND(D6=E6,E6=F6,F6=G6,G6=H6),"Matched","CHECK"))</f>
        <v>…</v>
      </c>
      <c r="J6" s="14" t="n">
        <f aca="false">IFERROR(MAX(D6:H6)-MIN(D6:H6),"")</f>
        <v>0</v>
      </c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3"/>
      <c r="E7" s="13"/>
      <c r="F7" s="13"/>
      <c r="G7" s="13"/>
      <c r="H7" s="13"/>
      <c r="I7" s="21" t="str">
        <f aca="false">IF(COUNT(D7:H7)&lt;5,"…",IF(AND(D7=E7,E7=F7,F7=G7,G7=H7),"Matched","CHECK"))</f>
        <v>…</v>
      </c>
      <c r="J7" s="14" t="n">
        <f aca="false">IFERROR(MAX(D7:H7)-MIN(D7:H7),"")</f>
        <v>0</v>
      </c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3"/>
      <c r="E8" s="13"/>
      <c r="F8" s="13"/>
      <c r="G8" s="13"/>
      <c r="H8" s="13"/>
      <c r="I8" s="21" t="str">
        <f aca="false">IF(COUNT(D8:H8)&lt;5,"…",IF(AND(D8=E8,E8=F8,F8=G8,G8=H8),"Matched","CHECK"))</f>
        <v>…</v>
      </c>
      <c r="J8" s="14" t="n">
        <f aca="false">IFERROR(MAX(D8:H8)-MIN(D8:H8),"")</f>
        <v>0</v>
      </c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3"/>
      <c r="E9" s="13"/>
      <c r="F9" s="13"/>
      <c r="G9" s="13"/>
      <c r="H9" s="13"/>
      <c r="I9" s="21" t="str">
        <f aca="false">IF(COUNT(D9:H9)&lt;5,"…",IF(AND(D9=E9,E9=F9,F9=G9,G9=H9),"Matched","CHECK"))</f>
        <v>…</v>
      </c>
      <c r="J9" s="14" t="n">
        <f aca="false">IFERROR(MAX(D9:H9)-MIN(D9:H9),"")</f>
        <v>0</v>
      </c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3"/>
      <c r="G10" s="13"/>
      <c r="H10" s="13"/>
      <c r="I10" s="21" t="str">
        <f aca="false">IF(COUNT(D10:H10)&lt;5,"…",IF(AND(D10=E10,E10=F10,F10=G10,G10=H10),"Matched","CHECK"))</f>
        <v>…</v>
      </c>
      <c r="J10" s="14" t="n">
        <f aca="false">IFERROR(MAX(D10:H10)-MIN(D10:H10),"")</f>
        <v>0</v>
      </c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3"/>
      <c r="G11" s="13"/>
      <c r="H11" s="13"/>
      <c r="I11" s="21" t="str">
        <f aca="false">IF(COUNT(D11:H11)&lt;5,"…",IF(AND(D11=E11,E11=F11,F11=G11,G11=H11),"Matched","CHECK"))</f>
        <v>…</v>
      </c>
      <c r="J11" s="14" t="n">
        <f aca="false">IFERROR(MAX(D11:H11)-MIN(D11:H11),"")</f>
        <v>0</v>
      </c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3"/>
      <c r="G12" s="13"/>
      <c r="H12" s="13"/>
      <c r="I12" s="21" t="str">
        <f aca="false">IF(COUNT(D12:H12)&lt;5,"…",IF(AND(D12=E12,E12=F12,F12=G12,G12=H12),"Matched","CHECK"))</f>
        <v>…</v>
      </c>
      <c r="J12" s="14" t="n">
        <f aca="false">IFERROR(MAX(D12:H12)-MIN(D12:H12),"")</f>
        <v>0</v>
      </c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3"/>
      <c r="G13" s="13"/>
      <c r="H13" s="13"/>
      <c r="I13" s="21" t="str">
        <f aca="false">IF(COUNT(D13:H13)&lt;5,"…",IF(AND(D13=E13,E13=F13,F13=G13,G13=H13),"Matched","CHECK"))</f>
        <v>…</v>
      </c>
      <c r="J13" s="14" t="n">
        <f aca="false">IFERROR(MAX(D13:H13)-MIN(D13:H13),"")</f>
        <v>0</v>
      </c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3"/>
      <c r="G14" s="13"/>
      <c r="H14" s="13"/>
      <c r="I14" s="21" t="str">
        <f aca="false">IF(COUNT(D14:H14)&lt;5,"…",IF(AND(D14=E14,E14=F14,F14=G14,G14=H14),"Matched","CHECK"))</f>
        <v>…</v>
      </c>
      <c r="J14" s="14" t="n">
        <f aca="false">IFERROR(MAX(D14:H14)-MIN(D14:H14),"")</f>
        <v>0</v>
      </c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3"/>
      <c r="G15" s="13"/>
      <c r="H15" s="13"/>
      <c r="I15" s="21" t="str">
        <f aca="false">IF(COUNT(D15:H15)&lt;5,"…",IF(AND(D15=E15,E15=F15,F15=G15,G15=H15),"Matched","CHECK"))</f>
        <v>…</v>
      </c>
      <c r="J15" s="14" t="n">
        <f aca="false">IFERROR(MAX(D15:H15)-MIN(D15:H15),"")</f>
        <v>0</v>
      </c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3"/>
      <c r="G16" s="13"/>
      <c r="H16" s="13"/>
      <c r="I16" s="21" t="str">
        <f aca="false">IF(COUNT(D16:H16)&lt;5,"…",IF(AND(D16=E16,E16=F16,F16=G16,G16=H16),"Matched","CHECK"))</f>
        <v>…</v>
      </c>
      <c r="J16" s="14" t="n">
        <f aca="false">IFERROR(MAX(D16:H16)-MIN(D16:H16),"")</f>
        <v>0</v>
      </c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3"/>
      <c r="G17" s="13"/>
      <c r="H17" s="13"/>
      <c r="I17" s="21" t="str">
        <f aca="false">IF(COUNT(D17:H17)&lt;5,"…",IF(AND(D17=E17,E17=F17,F17=G17,G17=H17),"Matched","CHECK"))</f>
        <v>…</v>
      </c>
      <c r="J17" s="14" t="n">
        <f aca="false">IFERROR(MAX(D17:H17)-MIN(D17:H17),"")</f>
        <v>0</v>
      </c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3"/>
      <c r="G18" s="13"/>
      <c r="H18" s="13"/>
      <c r="I18" s="21" t="str">
        <f aca="false">IF(COUNT(D18:H18)&lt;5,"…",IF(AND(D18=E18,E18=F18,F18=G18,G18=H18),"Matched","CHECK"))</f>
        <v>…</v>
      </c>
      <c r="J18" s="14" t="n">
        <f aca="false">IFERROR(MAX(D18:H18)-MIN(D18:H18),"")</f>
        <v>0</v>
      </c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3"/>
      <c r="G19" s="13"/>
      <c r="H19" s="13"/>
      <c r="I19" s="21" t="str">
        <f aca="false">IF(COUNT(D19:H19)&lt;5,"…",IF(AND(D19=E19,E19=F19,F19=G19,G19=H19),"Matched","CHECK"))</f>
        <v>…</v>
      </c>
      <c r="J19" s="14" t="n">
        <f aca="false">IFERROR(MAX(D19:H19)-MIN(D19:H19),"")</f>
        <v>0</v>
      </c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3"/>
      <c r="G20" s="13"/>
      <c r="H20" s="13"/>
      <c r="I20" s="21" t="str">
        <f aca="false">IF(COUNT(D20:H20)&lt;5,"…",IF(AND(D20=E20,E20=F20,F20=G20,G20=H20),"Matched","CHECK"))</f>
        <v>…</v>
      </c>
      <c r="J20" s="14" t="n">
        <f aca="false">IFERROR(MAX(D20:H20)-MIN(D20:H20),"")</f>
        <v>0</v>
      </c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3"/>
      <c r="G21" s="13"/>
      <c r="H21" s="13"/>
      <c r="I21" s="21" t="str">
        <f aca="false">IF(COUNT(D21:H21)&lt;5,"…",IF(AND(D21=E21,E21=F21,F21=G21,G21=H21),"Matched","CHECK"))</f>
        <v>…</v>
      </c>
      <c r="J21" s="14" t="n">
        <f aca="false">IFERROR(MAX(D21:H21)-MIN(D21:H21),"")</f>
        <v>0</v>
      </c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3"/>
      <c r="G22" s="13"/>
      <c r="H22" s="13"/>
      <c r="I22" s="21" t="str">
        <f aca="false">IF(COUNT(D22:H22)&lt;5,"…",IF(AND(D22=E22,E22=F22,F22=G22,G22=H22),"Matched","CHECK"))</f>
        <v>…</v>
      </c>
      <c r="J22" s="14" t="n">
        <f aca="false">IFERROR(MAX(D22:H22)-MIN(D22:H22),"")</f>
        <v>0</v>
      </c>
      <c r="K22" s="12"/>
      <c r="L22" s="12"/>
      <c r="M22" s="12"/>
    </row>
    <row r="23" customFormat="false" ht="15" hidden="false" customHeight="false" outlineLevel="0" collapsed="false">
      <c r="B23" s="22" t="s">
        <v>53</v>
      </c>
      <c r="D23" s="17" t="n">
        <f aca="false">SUM(D3:D22)</f>
        <v>157500</v>
      </c>
      <c r="E23" s="17" t="n">
        <f aca="false">SUM(E3:E22)</f>
        <v>157500</v>
      </c>
      <c r="F23" s="17" t="n">
        <f aca="false">SUM(F3:F22)</f>
        <v>157500</v>
      </c>
      <c r="G23" s="17" t="n">
        <f aca="false">SUM(G3:G22)</f>
        <v>100000</v>
      </c>
      <c r="H23" s="17" t="n">
        <f aca="false">SUM(H3:H22)</f>
        <v>0</v>
      </c>
    </row>
  </sheetData>
  <autoFilter ref="A2:M22"/>
  <mergeCells count="1">
    <mergeCell ref="A1:M1"/>
  </mergeCells>
  <conditionalFormatting sqref="I3:I22">
    <cfRule type="cellIs" priority="2" operator="equal" aboveAverage="0" equalAverage="0" bottom="0" percent="0" rank="0" text="" dxfId="7">
      <formula>"Matched"</formula>
    </cfRule>
    <cfRule type="cellIs" priority="3" operator="equal" aboveAverage="0" equalAverage="0" bottom="0" percent="0" rank="0" text="" dxfId="8">
      <formula>"CHECK"</formula>
    </cfRule>
  </conditionalFormatting>
  <conditionalFormatting sqref="J3:J22">
    <cfRule type="cellIs" priority="4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23" t="s">
        <v>76</v>
      </c>
      <c r="B1" s="23"/>
      <c r="C1" s="23"/>
      <c r="D1" s="23"/>
      <c r="E1" s="23"/>
    </row>
    <row r="2" customFormat="false" ht="31.5" hidden="false" customHeight="true" outlineLevel="0" collapsed="false">
      <c r="A2" s="6"/>
      <c r="B2" s="6"/>
      <c r="C2" s="6"/>
      <c r="D2" s="6"/>
      <c r="E2" s="6"/>
    </row>
    <row r="3" customFormat="false" ht="15" hidden="false" customHeight="false" outlineLevel="0" collapsed="false">
      <c r="A3" s="24" t="s">
        <v>77</v>
      </c>
      <c r="B3" s="24"/>
      <c r="C3" s="12"/>
      <c r="D3" s="24"/>
      <c r="E3" s="24"/>
    </row>
    <row r="4" customFormat="false" ht="15" hidden="false" customHeight="false" outlineLevel="0" collapsed="false">
      <c r="A4" s="24" t="s">
        <v>78</v>
      </c>
      <c r="B4" s="24"/>
      <c r="C4" s="12"/>
      <c r="D4" s="24"/>
      <c r="E4" s="24"/>
    </row>
    <row r="5" customFormat="false" ht="15" hidden="false" customHeight="false" outlineLevel="0" collapsed="false">
      <c r="A5" s="12" t="s">
        <v>79</v>
      </c>
      <c r="B5" s="24"/>
      <c r="C5" s="12"/>
      <c r="D5" s="24"/>
      <c r="E5" s="24"/>
    </row>
    <row r="6" customFormat="false" ht="15" hidden="false" customHeight="false" outlineLevel="0" collapsed="false">
      <c r="A6" s="24" t="s">
        <v>80</v>
      </c>
      <c r="B6" s="24"/>
      <c r="C6" s="12"/>
      <c r="D6" s="24"/>
      <c r="E6" s="24"/>
    </row>
    <row r="7" customFormat="false" ht="15" hidden="false" customHeight="false" outlineLevel="0" collapsed="false">
      <c r="A7" s="12" t="s">
        <v>81</v>
      </c>
      <c r="B7" s="24"/>
      <c r="C7" s="12"/>
      <c r="D7" s="24"/>
      <c r="E7" s="24"/>
    </row>
    <row r="8" customFormat="false" ht="15" hidden="false" customHeight="false" outlineLevel="0" collapsed="false">
      <c r="A8" s="24" t="s">
        <v>82</v>
      </c>
      <c r="B8" s="24"/>
      <c r="C8" s="12"/>
      <c r="D8" s="24"/>
      <c r="E8" s="24"/>
    </row>
    <row r="9" customFormat="false" ht="15" hidden="false" customHeight="false" outlineLevel="0" collapsed="false">
      <c r="A9" s="24" t="s">
        <v>83</v>
      </c>
      <c r="B9" s="24"/>
      <c r="C9" s="12"/>
      <c r="D9" s="24"/>
      <c r="E9" s="24"/>
    </row>
    <row r="10" customFormat="false" ht="15" hidden="false" customHeight="false" outlineLevel="0" collapsed="false">
      <c r="A10" s="24" t="s">
        <v>84</v>
      </c>
      <c r="B10" s="24"/>
      <c r="C10" s="12"/>
      <c r="D10" s="24"/>
      <c r="E10" s="24"/>
    </row>
  </sheetData>
  <mergeCells count="1">
    <mergeCell ref="A1:E1"/>
  </mergeCells>
  <conditionalFormatting sqref="C3:C10">
    <cfRule type="cellIs" priority="2" operator="equal" aboveAverage="0" equalAverage="0" bottom="0" percent="0" rank="0" text="" dxfId="7">
      <formula>"반영"</formula>
    </cfRule>
    <cfRule type="cellIs" priority="3" operator="equal" aboveAverage="0" equalAverage="0" bottom="0" percent="0" rank="0" text="" dxfId="9">
      <formula>"부분"</formula>
    </cfRule>
    <cfRule type="cellIs" priority="4" operator="equal" aboveAverage="0" equalAverage="0" bottom="0" percent="0" rank="0" text="" dxfId="8">
      <formula>"미반영"</formula>
    </cfRule>
  </conditionalFormatting>
  <dataValidations count="1">
    <dataValidation allowBlank="true" errorStyle="stop" operator="between" showDropDown="false" showErrorMessage="false" showInputMessage="false" sqref="C3:C10" type="list">
      <formula1>"반영,부분,미반영"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2026-06-07T06:57:08Z</dcterms:created>
  <dc:creator>openpyxl</dc:creator>
  <dc:description/>
  <dc:language>en-US</dc:language>
  <cp:lastModifiedBy/>
  <dcterms:modified xsi:type="dcterms:W3CDTF">2026-06-07T06:57:08Z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